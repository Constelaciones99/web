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séManuel\Dropbox\5-Recursos\Contenidos\Excel\Temas\Trucos\ES_640_03\"/>
    </mc:Choice>
  </mc:AlternateContent>
  <bookViews>
    <workbookView xWindow="120" yWindow="105" windowWidth="20730" windowHeight="9975"/>
  </bookViews>
  <sheets>
    <sheet name="Ejercicio" sheetId="5" r:id="rId1"/>
    <sheet name="Datos" sheetId="3" state="hidden" r:id="rId2"/>
  </sheets>
  <calcPr calcId="152511"/>
</workbook>
</file>

<file path=xl/calcChain.xml><?xml version="1.0" encoding="utf-8"?>
<calcChain xmlns="http://schemas.openxmlformats.org/spreadsheetml/2006/main">
  <c r="F32" i="5" l="1"/>
  <c r="I32" i="5" s="1"/>
  <c r="E32" i="5"/>
  <c r="D32" i="5"/>
  <c r="C32" i="5"/>
  <c r="H32" i="5" s="1"/>
  <c r="F31" i="5"/>
  <c r="I31" i="5" s="1"/>
  <c r="E31" i="5"/>
  <c r="D31" i="5"/>
  <c r="C31" i="5"/>
  <c r="H31" i="5" s="1"/>
  <c r="H30" i="5"/>
  <c r="F30" i="5"/>
  <c r="I30" i="5" s="1"/>
  <c r="E30" i="5"/>
  <c r="D30" i="5"/>
  <c r="C30" i="5"/>
  <c r="F29" i="5"/>
  <c r="I29" i="5" s="1"/>
  <c r="E29" i="5"/>
  <c r="D29" i="5"/>
  <c r="C29" i="5"/>
  <c r="H29" i="5" s="1"/>
  <c r="F28" i="5"/>
  <c r="I28" i="5" s="1"/>
  <c r="E28" i="5"/>
  <c r="D28" i="5"/>
  <c r="C28" i="5"/>
  <c r="H28" i="5" s="1"/>
  <c r="F27" i="5"/>
  <c r="I27" i="5" s="1"/>
  <c r="E27" i="5"/>
  <c r="D27" i="5"/>
  <c r="C27" i="5"/>
  <c r="H27" i="5" s="1"/>
  <c r="F26" i="5"/>
  <c r="I26" i="5" s="1"/>
  <c r="E26" i="5"/>
  <c r="D26" i="5"/>
  <c r="C26" i="5"/>
  <c r="H26" i="5" s="1"/>
  <c r="F25" i="5"/>
  <c r="I25" i="5" s="1"/>
  <c r="E25" i="5"/>
  <c r="D25" i="5"/>
  <c r="C25" i="5"/>
  <c r="H25" i="5" s="1"/>
  <c r="F24" i="5"/>
  <c r="I24" i="5" s="1"/>
  <c r="E24" i="5"/>
  <c r="D24" i="5"/>
  <c r="C24" i="5"/>
  <c r="H24" i="5" s="1"/>
  <c r="F23" i="5"/>
  <c r="I23" i="5" s="1"/>
  <c r="E23" i="5"/>
  <c r="D23" i="5"/>
  <c r="C23" i="5"/>
  <c r="H23" i="5" s="1"/>
  <c r="F22" i="5"/>
  <c r="I22" i="5" s="1"/>
  <c r="E22" i="5"/>
  <c r="D22" i="5"/>
  <c r="C22" i="5"/>
  <c r="H22" i="5" s="1"/>
  <c r="F21" i="5"/>
  <c r="I21" i="5" s="1"/>
  <c r="E21" i="5"/>
  <c r="D21" i="5"/>
  <c r="C21" i="5"/>
  <c r="H21" i="5" s="1"/>
  <c r="F20" i="5"/>
  <c r="I20" i="5" s="1"/>
  <c r="E20" i="5"/>
  <c r="D20" i="5"/>
  <c r="C20" i="5"/>
  <c r="H20" i="5" s="1"/>
  <c r="F19" i="5"/>
  <c r="I19" i="5" s="1"/>
  <c r="E19" i="5"/>
  <c r="D19" i="5"/>
  <c r="C19" i="5"/>
  <c r="H19" i="5" s="1"/>
  <c r="F18" i="5"/>
  <c r="I18" i="5" s="1"/>
  <c r="E18" i="5"/>
  <c r="D18" i="5"/>
  <c r="C18" i="5"/>
  <c r="H18" i="5" s="1"/>
  <c r="F17" i="5"/>
  <c r="I17" i="5" s="1"/>
  <c r="E17" i="5"/>
  <c r="D17" i="5"/>
  <c r="C17" i="5"/>
  <c r="H17" i="5" s="1"/>
  <c r="F16" i="5"/>
  <c r="I16" i="5" s="1"/>
  <c r="E16" i="5"/>
  <c r="D16" i="5"/>
  <c r="C16" i="5"/>
  <c r="H16" i="5" s="1"/>
  <c r="F15" i="5"/>
  <c r="I15" i="5" s="1"/>
  <c r="E15" i="5"/>
  <c r="D15" i="5"/>
  <c r="C15" i="5"/>
  <c r="H15" i="5" s="1"/>
  <c r="F14" i="5"/>
  <c r="I14" i="5" s="1"/>
  <c r="E14" i="5"/>
  <c r="D14" i="5"/>
  <c r="C14" i="5"/>
  <c r="H14" i="5" s="1"/>
  <c r="F13" i="5"/>
  <c r="I13" i="5" s="1"/>
  <c r="E13" i="5"/>
  <c r="D13" i="5"/>
  <c r="C13" i="5"/>
  <c r="H13" i="5" s="1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4" i="3"/>
  <c r="AA5" i="3"/>
  <c r="AC5" i="3" s="1"/>
  <c r="AB5" i="3"/>
  <c r="AA6" i="3"/>
  <c r="AC6" i="3" s="1"/>
  <c r="AB6" i="3"/>
  <c r="AA7" i="3"/>
  <c r="AB7" i="3"/>
  <c r="AC7" i="3"/>
  <c r="AA8" i="3"/>
  <c r="AC8" i="3" s="1"/>
  <c r="AB8" i="3"/>
  <c r="AA9" i="3"/>
  <c r="AC9" i="3" s="1"/>
  <c r="AB9" i="3"/>
  <c r="AA10" i="3"/>
  <c r="AB10" i="3"/>
  <c r="AC10" i="3" s="1"/>
  <c r="AA11" i="3"/>
  <c r="AC11" i="3" s="1"/>
  <c r="AB11" i="3"/>
  <c r="AA12" i="3"/>
  <c r="AB12" i="3"/>
  <c r="AC12" i="3"/>
  <c r="AA13" i="3"/>
  <c r="AC13" i="3" s="1"/>
  <c r="AB13" i="3"/>
  <c r="AA14" i="3"/>
  <c r="AC14" i="3" s="1"/>
  <c r="AB14" i="3"/>
  <c r="AA15" i="3"/>
  <c r="AB15" i="3"/>
  <c r="AC15" i="3"/>
  <c r="AA16" i="3"/>
  <c r="AB16" i="3"/>
  <c r="AC16" i="3"/>
  <c r="AA17" i="3"/>
  <c r="AB17" i="3"/>
  <c r="AC17" i="3"/>
  <c r="AA18" i="3"/>
  <c r="AB18" i="3"/>
  <c r="AC18" i="3"/>
  <c r="AA19" i="3"/>
  <c r="AB19" i="3"/>
  <c r="AC19" i="3" s="1"/>
  <c r="AA20" i="3"/>
  <c r="AB20" i="3"/>
  <c r="AC20" i="3"/>
  <c r="AA21" i="3"/>
  <c r="AC21" i="3" s="1"/>
  <c r="AB21" i="3"/>
  <c r="AA22" i="3"/>
  <c r="AC22" i="3" s="1"/>
  <c r="AB22" i="3"/>
  <c r="AA23" i="3"/>
  <c r="AB23" i="3"/>
  <c r="AC23" i="3"/>
  <c r="AC4" i="3"/>
  <c r="AB4" i="3"/>
  <c r="AA4" i="3"/>
</calcChain>
</file>

<file path=xl/sharedStrings.xml><?xml version="1.0" encoding="utf-8"?>
<sst xmlns="http://schemas.openxmlformats.org/spreadsheetml/2006/main" count="53" uniqueCount="39">
  <si>
    <t>Barcelona</t>
  </si>
  <si>
    <t>Atlético</t>
  </si>
  <si>
    <t>R. Madrid</t>
  </si>
  <si>
    <t>Athletic</t>
  </si>
  <si>
    <t>R. Sociedad</t>
  </si>
  <si>
    <t>Villarreal</t>
  </si>
  <si>
    <t>Sevilla</t>
  </si>
  <si>
    <t>Valencia</t>
  </si>
  <si>
    <t>Granada</t>
  </si>
  <si>
    <t>Getafe</t>
  </si>
  <si>
    <t>Espanyol</t>
  </si>
  <si>
    <t>Málaga</t>
  </si>
  <si>
    <t>Levante</t>
  </si>
  <si>
    <t>Almería</t>
  </si>
  <si>
    <t>Osasuna</t>
  </si>
  <si>
    <t>Elche</t>
  </si>
  <si>
    <t>Celta</t>
  </si>
  <si>
    <t>Valladolid</t>
  </si>
  <si>
    <t>Rayo</t>
  </si>
  <si>
    <t>Betis</t>
  </si>
  <si>
    <t>TOTALES</t>
  </si>
  <si>
    <t>CASA</t>
  </si>
  <si>
    <t>FUERA</t>
  </si>
  <si>
    <t>PJ</t>
  </si>
  <si>
    <t>PG</t>
  </si>
  <si>
    <t>PE</t>
  </si>
  <si>
    <t>PP</t>
  </si>
  <si>
    <t>GF</t>
  </si>
  <si>
    <t>GC</t>
  </si>
  <si>
    <t>PTOS</t>
  </si>
  <si>
    <t>PTOS. CASA</t>
  </si>
  <si>
    <t>PTOS. FUERA</t>
  </si>
  <si>
    <t>PTOS TOTALES</t>
  </si>
  <si>
    <t>Puntos en casa</t>
  </si>
  <si>
    <t>Puntos totales</t>
  </si>
  <si>
    <t>Puntos fuera</t>
  </si>
  <si>
    <t>Gráficos dentro de una celda con REPETIR</t>
  </si>
  <si>
    <t>TRUCO 26: Gráficos dentro de una celda con REPETIR</t>
  </si>
  <si>
    <r>
      <rPr>
        <b/>
        <sz val="14"/>
        <color rgb="FFFFFF00"/>
        <rFont val="Calibri"/>
        <family val="2"/>
        <scheme val="minor"/>
      </rPr>
      <t>TRUCO 26</t>
    </r>
    <r>
      <rPr>
        <sz val="11"/>
        <color theme="0"/>
        <rFont val="Calibri"/>
        <family val="2"/>
        <scheme val="minor"/>
      </rPr>
      <t>: Quizá porque aún somos usuarios de Excel 2003 o bien porque no deseamos utilizar las barras de datos del formato condicional… o incluso porque queremos personalizar el tipo de grafismo utilizado en el gráfico, tenemos la posibilidad de realizar un gráfico de columna dentro de una celda.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</si>
</sst>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22"/>
      <color rgb="FFC00000"/>
      <name val="Arial"/>
      <family val="2"/>
    </font>
    <font>
      <sz val="11"/>
      <color theme="0"/>
      <name val="Calibri"/>
      <family val="2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45454"/>
      <name val="Tahoma"/>
      <family val="2"/>
    </font>
    <font>
      <b/>
      <sz val="11"/>
      <color rgb="FF545454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F7FD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medium">
        <color rgb="FFECECEC"/>
      </right>
      <top/>
      <bottom style="medium">
        <color rgb="FF000000"/>
      </bottom>
      <diagonal/>
    </border>
    <border>
      <left/>
      <right/>
      <top/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1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3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Fill="1" applyBorder="1"/>
    <xf numFmtId="0" fontId="0" fillId="0" borderId="2" xfId="0" applyBorder="1"/>
    <xf numFmtId="0" fontId="1" fillId="0" borderId="2" xfId="0" applyFont="1" applyBorder="1" applyAlignment="1">
      <alignment vertical="top" wrapText="1"/>
    </xf>
    <xf numFmtId="0" fontId="0" fillId="0" borderId="3" xfId="0" applyFill="1" applyBorder="1"/>
    <xf numFmtId="0" fontId="1" fillId="0" borderId="4" xfId="0" applyFont="1" applyBorder="1" applyAlignment="1">
      <alignment vertical="top" wrapText="1"/>
    </xf>
    <xf numFmtId="0" fontId="1" fillId="0" borderId="3" xfId="0" applyFont="1" applyBorder="1" applyAlignment="1">
      <alignment horizontal="left" vertical="top" wrapText="1"/>
    </xf>
    <xf numFmtId="0" fontId="0" fillId="0" borderId="3" xfId="0" applyBorder="1"/>
    <xf numFmtId="0" fontId="7" fillId="3" borderId="12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left" vertical="center"/>
    </xf>
    <xf numFmtId="0" fontId="8" fillId="4" borderId="12" xfId="0" applyFont="1" applyFill="1" applyBorder="1" applyAlignment="1">
      <alignment horizontal="center" vertical="center"/>
    </xf>
    <xf numFmtId="0" fontId="0" fillId="0" borderId="0" xfId="0" applyAlignment="1"/>
    <xf numFmtId="0" fontId="7" fillId="5" borderId="12" xfId="0" applyFont="1" applyFill="1" applyBorder="1" applyAlignment="1">
      <alignment horizontal="center" vertical="center"/>
    </xf>
    <xf numFmtId="0" fontId="0" fillId="0" borderId="14" xfId="0" applyBorder="1" applyAlignment="1"/>
    <xf numFmtId="0" fontId="0" fillId="0" borderId="13" xfId="0" applyBorder="1"/>
    <xf numFmtId="0" fontId="6" fillId="0" borderId="13" xfId="0" applyFont="1" applyBorder="1" applyAlignment="1">
      <alignment horizontal="right" vertical="center" wrapText="1"/>
    </xf>
    <xf numFmtId="0" fontId="2" fillId="0" borderId="0" xfId="0" applyFont="1"/>
    <xf numFmtId="0" fontId="4" fillId="2" borderId="5" xfId="0" applyFont="1" applyFill="1" applyBorder="1" applyAlignment="1">
      <alignment horizontal="left" vertical="center" wrapText="1"/>
    </xf>
    <xf numFmtId="0" fontId="4" fillId="2" borderId="6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4" fillId="2" borderId="7" xfId="0" applyFont="1" applyFill="1" applyBorder="1" applyAlignment="1">
      <alignment horizontal="left" vertical="center" wrapText="1"/>
    </xf>
    <xf numFmtId="0" fontId="4" fillId="2" borderId="0" xfId="0" applyFont="1" applyFill="1" applyBorder="1" applyAlignment="1">
      <alignment horizontal="left" vertical="center" wrapText="1"/>
    </xf>
    <xf numFmtId="0" fontId="4" fillId="2" borderId="8" xfId="0" applyFont="1" applyFill="1" applyBorder="1" applyAlignment="1">
      <alignment horizontal="left" vertical="center" wrapText="1"/>
    </xf>
    <xf numFmtId="0" fontId="4" fillId="2" borderId="9" xfId="0" applyFont="1" applyFill="1" applyBorder="1" applyAlignment="1">
      <alignment horizontal="left" vertical="center" wrapText="1"/>
    </xf>
    <xf numFmtId="0" fontId="4" fillId="2" borderId="10" xfId="0" applyFont="1" applyFill="1" applyBorder="1" applyAlignment="1">
      <alignment horizontal="left" vertical="center" wrapText="1"/>
    </xf>
    <xf numFmtId="0" fontId="4" fillId="2" borderId="11" xfId="0" applyFont="1" applyFill="1" applyBorder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0" fillId="0" borderId="13" xfId="0" applyBorder="1" applyAlignment="1">
      <alignment horizontal="center"/>
    </xf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2"/>
  <sheetViews>
    <sheetView tabSelected="1" workbookViewId="0">
      <pane xSplit="1" ySplit="5" topLeftCell="B6" activePane="bottomRight" state="frozen"/>
      <selection pane="topRight" activeCell="B1" sqref="B1"/>
      <selection pane="bottomLeft" activeCell="A7" sqref="A7"/>
      <selection pane="bottomRight" activeCell="I12" sqref="I12"/>
    </sheetView>
  </sheetViews>
  <sheetFormatPr baseColWidth="10" defaultRowHeight="15" x14ac:dyDescent="0.25"/>
  <cols>
    <col min="1" max="1" width="4.42578125" style="8" customWidth="1"/>
    <col min="2" max="2" width="4.28515625" customWidth="1"/>
    <col min="3" max="3" width="15" customWidth="1"/>
    <col min="4" max="6" width="8.85546875" customWidth="1"/>
    <col min="7" max="7" width="7.140625" customWidth="1"/>
    <col min="8" max="8" width="15" customWidth="1"/>
    <col min="9" max="9" width="38.5703125" customWidth="1"/>
    <col min="10" max="11" width="7.28515625" customWidth="1"/>
    <col min="12" max="12" width="15.85546875" customWidth="1"/>
    <col min="13" max="13" width="11.42578125" customWidth="1"/>
  </cols>
  <sheetData>
    <row r="1" spans="1:26" s="7" customFormat="1" ht="45" customHeight="1" x14ac:dyDescent="0.25">
      <c r="A1" s="3"/>
      <c r="B1" s="4"/>
      <c r="C1" s="5" t="s">
        <v>36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15" customHeight="1" x14ac:dyDescent="0.25">
      <c r="B2" s="9"/>
      <c r="C2" s="24" t="s">
        <v>37</v>
      </c>
      <c r="D2" s="25"/>
      <c r="E2" s="25"/>
      <c r="F2" s="25"/>
      <c r="G2" s="25"/>
      <c r="H2" s="25"/>
      <c r="I2" s="25"/>
      <c r="J2" s="25"/>
      <c r="K2" s="25"/>
      <c r="L2" s="26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B3" s="10"/>
      <c r="C3" s="27"/>
      <c r="D3" s="28"/>
      <c r="E3" s="28"/>
      <c r="F3" s="28"/>
      <c r="G3" s="28"/>
      <c r="H3" s="28"/>
      <c r="I3" s="28"/>
      <c r="J3" s="28"/>
      <c r="K3" s="28"/>
      <c r="L3" s="29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B4" s="10"/>
      <c r="C4" s="30"/>
      <c r="D4" s="31"/>
      <c r="E4" s="31"/>
      <c r="F4" s="31"/>
      <c r="G4" s="31"/>
      <c r="H4" s="31"/>
      <c r="I4" s="31"/>
      <c r="J4" s="31"/>
      <c r="K4" s="31"/>
      <c r="L4" s="32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1"/>
      <c r="B5" s="12"/>
      <c r="C5" s="13"/>
      <c r="D5" s="13"/>
      <c r="E5" s="13"/>
      <c r="F5" s="13"/>
      <c r="G5" s="13"/>
      <c r="H5" s="13"/>
      <c r="I5" s="13"/>
      <c r="J5" s="13"/>
      <c r="K5" s="13"/>
      <c r="L5" s="13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1:26" x14ac:dyDescent="0.25">
      <c r="B7" s="2"/>
      <c r="C7" s="33" t="s">
        <v>38</v>
      </c>
      <c r="D7" s="33"/>
      <c r="E7" s="33"/>
      <c r="F7" s="33"/>
      <c r="G7" s="33"/>
      <c r="H7" s="33"/>
      <c r="I7" s="33"/>
      <c r="J7" s="33"/>
      <c r="K7" s="33"/>
      <c r="L7" s="33"/>
      <c r="M7" s="2"/>
      <c r="N7" s="2"/>
    </row>
    <row r="8" spans="1:26" x14ac:dyDescent="0.25">
      <c r="B8" s="2"/>
      <c r="C8" s="33"/>
      <c r="D8" s="33"/>
      <c r="E8" s="33"/>
      <c r="F8" s="33"/>
      <c r="G8" s="33"/>
      <c r="H8" s="33"/>
      <c r="I8" s="33"/>
      <c r="J8" s="33"/>
      <c r="K8" s="33"/>
      <c r="L8" s="33"/>
      <c r="M8" s="2"/>
      <c r="N8" s="2"/>
    </row>
    <row r="9" spans="1:26" x14ac:dyDescent="0.25">
      <c r="B9" s="2"/>
      <c r="C9" s="33"/>
      <c r="D9" s="33"/>
      <c r="E9" s="33"/>
      <c r="F9" s="33"/>
      <c r="G9" s="33"/>
      <c r="H9" s="33"/>
      <c r="I9" s="33"/>
      <c r="J9" s="33"/>
      <c r="K9" s="33"/>
      <c r="L9" s="33"/>
      <c r="M9" s="2"/>
      <c r="N9" s="2"/>
    </row>
    <row r="10" spans="1:26" x14ac:dyDescent="0.25">
      <c r="B10" s="2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2"/>
      <c r="N10" s="2"/>
    </row>
    <row r="11" spans="1:26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26" ht="30.75" thickBot="1" x14ac:dyDescent="0.3">
      <c r="C12" s="21"/>
      <c r="D12" s="22" t="s">
        <v>33</v>
      </c>
      <c r="E12" s="22" t="s">
        <v>35</v>
      </c>
      <c r="F12" s="22" t="s">
        <v>34</v>
      </c>
      <c r="H12" s="18"/>
      <c r="I12" s="18"/>
      <c r="J12" s="18"/>
      <c r="K12" s="18"/>
      <c r="L12" s="18"/>
      <c r="M12" s="23">
        <v>1</v>
      </c>
    </row>
    <row r="13" spans="1:26" x14ac:dyDescent="0.25">
      <c r="C13" t="str">
        <f>Datos!Z4</f>
        <v>Barcelona</v>
      </c>
      <c r="D13">
        <f>Datos!AA4</f>
        <v>27</v>
      </c>
      <c r="E13">
        <f>Datos!AB4</f>
        <v>22</v>
      </c>
      <c r="F13">
        <f>Datos!AC4</f>
        <v>49</v>
      </c>
      <c r="H13" t="str">
        <f>C13</f>
        <v>Barcelona</v>
      </c>
      <c r="I13" t="str">
        <f>REPT("I",F13)</f>
        <v>IIIIIIIIIIIIIIIIIIIIIIIIIIIIIIIIIIIIIIIIIIIIIIIII</v>
      </c>
      <c r="L13" s="35"/>
    </row>
    <row r="14" spans="1:26" x14ac:dyDescent="0.25">
      <c r="C14" t="str">
        <f>Datos!Z5</f>
        <v>Atlético</v>
      </c>
      <c r="D14">
        <f>Datos!AA5</f>
        <v>27</v>
      </c>
      <c r="E14">
        <f>Datos!AB5</f>
        <v>22</v>
      </c>
      <c r="F14">
        <f>Datos!AC5</f>
        <v>49</v>
      </c>
      <c r="H14" t="str">
        <f t="shared" ref="H14:H32" si="0">C14</f>
        <v>Atlético</v>
      </c>
      <c r="I14" t="str">
        <f t="shared" ref="I14:I32" si="1">REPT("I",F14)</f>
        <v>IIIIIIIIIIIIIIIIIIIIIIIIIIIIIIIIIIIIIIIIIIIIIIIII</v>
      </c>
      <c r="L14" s="18"/>
    </row>
    <row r="15" spans="1:26" x14ac:dyDescent="0.25">
      <c r="C15" t="str">
        <f>Datos!Z6</f>
        <v>R. Madrid</v>
      </c>
      <c r="D15">
        <f>Datos!AA6</f>
        <v>24</v>
      </c>
      <c r="E15">
        <f>Datos!AB6</f>
        <v>20</v>
      </c>
      <c r="F15">
        <f>Datos!AC6</f>
        <v>44</v>
      </c>
      <c r="H15" t="str">
        <f t="shared" si="0"/>
        <v>R. Madrid</v>
      </c>
      <c r="I15" t="str">
        <f t="shared" si="1"/>
        <v>IIIIIIIIIIIIIIIIIIIIIIIIIIIIIIIIIIIIIIIIIIII</v>
      </c>
      <c r="L15" s="18"/>
    </row>
    <row r="16" spans="1:26" x14ac:dyDescent="0.25">
      <c r="C16" t="str">
        <f>Datos!Z7</f>
        <v>Athletic</v>
      </c>
      <c r="D16">
        <f>Datos!AA7</f>
        <v>26</v>
      </c>
      <c r="E16">
        <f>Datos!AB7</f>
        <v>10</v>
      </c>
      <c r="F16">
        <f>Datos!AC7</f>
        <v>36</v>
      </c>
      <c r="H16" t="str">
        <f t="shared" si="0"/>
        <v>Athletic</v>
      </c>
      <c r="I16" t="str">
        <f t="shared" si="1"/>
        <v>IIIIIIIIIIIIIIIIIIIIIIIIIIIIIIIIIIII</v>
      </c>
      <c r="L16" s="18"/>
    </row>
    <row r="17" spans="3:12" x14ac:dyDescent="0.25">
      <c r="C17" t="str">
        <f>Datos!Z8</f>
        <v>R. Sociedad</v>
      </c>
      <c r="D17">
        <f>Datos!AA8</f>
        <v>20</v>
      </c>
      <c r="E17">
        <f>Datos!AB8</f>
        <v>12</v>
      </c>
      <c r="F17">
        <f>Datos!AC8</f>
        <v>32</v>
      </c>
      <c r="H17" t="str">
        <f t="shared" si="0"/>
        <v>R. Sociedad</v>
      </c>
      <c r="I17" t="str">
        <f t="shared" si="1"/>
        <v>IIIIIIIIIIIIIIIIIIIIIIIIIIIIIIII</v>
      </c>
      <c r="L17" s="18"/>
    </row>
    <row r="18" spans="3:12" x14ac:dyDescent="0.25">
      <c r="C18" t="str">
        <f>Datos!Z9</f>
        <v>Villarreal</v>
      </c>
      <c r="D18">
        <f>Datos!AA9</f>
        <v>15</v>
      </c>
      <c r="E18">
        <f>Datos!AB9</f>
        <v>16</v>
      </c>
      <c r="F18">
        <f>Datos!AC9</f>
        <v>31</v>
      </c>
      <c r="H18" t="str">
        <f t="shared" si="0"/>
        <v>Villarreal</v>
      </c>
      <c r="I18" t="str">
        <f t="shared" si="1"/>
        <v>IIIIIIIIIIIIIIIIIIIIIIIIIIIIIII</v>
      </c>
      <c r="L18" s="18"/>
    </row>
    <row r="19" spans="3:12" x14ac:dyDescent="0.25">
      <c r="C19" t="str">
        <f>Datos!Z10</f>
        <v>Sevilla</v>
      </c>
      <c r="D19">
        <f>Datos!AA10</f>
        <v>17</v>
      </c>
      <c r="E19">
        <f>Datos!AB10</f>
        <v>12</v>
      </c>
      <c r="F19">
        <f>Datos!AC10</f>
        <v>29</v>
      </c>
      <c r="H19" t="str">
        <f t="shared" si="0"/>
        <v>Sevilla</v>
      </c>
      <c r="I19" t="str">
        <f t="shared" si="1"/>
        <v>IIIIIIIIIIIIIIIIIIIIIIIIIIIII</v>
      </c>
      <c r="L19" s="18"/>
    </row>
    <row r="20" spans="3:12" x14ac:dyDescent="0.25">
      <c r="C20" t="str">
        <f>Datos!Z11</f>
        <v>Valencia</v>
      </c>
      <c r="D20">
        <f>Datos!AA11</f>
        <v>16</v>
      </c>
      <c r="E20">
        <f>Datos!AB11</f>
        <v>7</v>
      </c>
      <c r="F20">
        <f>Datos!AC11</f>
        <v>23</v>
      </c>
      <c r="H20" t="str">
        <f t="shared" si="0"/>
        <v>Valencia</v>
      </c>
      <c r="I20" t="str">
        <f t="shared" si="1"/>
        <v>IIIIIIIIIIIIIIIIIIIIIII</v>
      </c>
      <c r="L20" s="18"/>
    </row>
    <row r="21" spans="3:12" x14ac:dyDescent="0.25">
      <c r="C21" t="str">
        <f>Datos!Z12</f>
        <v>Granada</v>
      </c>
      <c r="D21">
        <f>Datos!AA12</f>
        <v>9</v>
      </c>
      <c r="E21">
        <f>Datos!AB12</f>
        <v>14</v>
      </c>
      <c r="F21">
        <f>Datos!AC12</f>
        <v>23</v>
      </c>
      <c r="H21" t="str">
        <f t="shared" si="0"/>
        <v>Granada</v>
      </c>
      <c r="I21" t="str">
        <f t="shared" si="1"/>
        <v>IIIIIIIIIIIIIIIIIIIIIII</v>
      </c>
      <c r="L21" s="18"/>
    </row>
    <row r="22" spans="3:12" x14ac:dyDescent="0.25">
      <c r="C22" t="str">
        <f>Datos!Z13</f>
        <v>Getafe</v>
      </c>
      <c r="D22">
        <f>Datos!AA13</f>
        <v>14</v>
      </c>
      <c r="E22">
        <f>Datos!AB13</f>
        <v>9</v>
      </c>
      <c r="F22">
        <f>Datos!AC13</f>
        <v>23</v>
      </c>
      <c r="H22" t="str">
        <f t="shared" si="0"/>
        <v>Getafe</v>
      </c>
      <c r="I22" t="str">
        <f t="shared" si="1"/>
        <v>IIIIIIIIIIIIIIIIIIIIIII</v>
      </c>
      <c r="L22" s="18"/>
    </row>
    <row r="23" spans="3:12" x14ac:dyDescent="0.25">
      <c r="C23" t="str">
        <f>Datos!Z14</f>
        <v>Espanyol</v>
      </c>
      <c r="D23">
        <f>Datos!AA14</f>
        <v>14</v>
      </c>
      <c r="E23">
        <f>Datos!AB14</f>
        <v>8</v>
      </c>
      <c r="F23">
        <f>Datos!AC14</f>
        <v>22</v>
      </c>
      <c r="H23" t="str">
        <f t="shared" si="0"/>
        <v>Espanyol</v>
      </c>
      <c r="I23" t="str">
        <f t="shared" si="1"/>
        <v>IIIIIIIIIIIIIIIIIIIIII</v>
      </c>
      <c r="L23" s="18"/>
    </row>
    <row r="24" spans="3:12" x14ac:dyDescent="0.25">
      <c r="C24" t="str">
        <f>Datos!Z15</f>
        <v>Málaga</v>
      </c>
      <c r="D24">
        <f>Datos!AA15</f>
        <v>12</v>
      </c>
      <c r="E24">
        <f>Datos!AB15</f>
        <v>8</v>
      </c>
      <c r="F24">
        <f>Datos!AC15</f>
        <v>20</v>
      </c>
      <c r="H24" t="str">
        <f t="shared" si="0"/>
        <v>Málaga</v>
      </c>
      <c r="I24" t="str">
        <f t="shared" si="1"/>
        <v>IIIIIIIIIIIIIIIIIIII</v>
      </c>
      <c r="L24" s="18"/>
    </row>
    <row r="25" spans="3:12" x14ac:dyDescent="0.25">
      <c r="C25" t="str">
        <f>Datos!Z16</f>
        <v>Levante</v>
      </c>
      <c r="D25">
        <f>Datos!AA16</f>
        <v>9</v>
      </c>
      <c r="E25">
        <f>Datos!AB16</f>
        <v>11</v>
      </c>
      <c r="F25">
        <f>Datos!AC16</f>
        <v>20</v>
      </c>
      <c r="H25" t="str">
        <f t="shared" si="0"/>
        <v>Levante</v>
      </c>
      <c r="I25" t="str">
        <f t="shared" si="1"/>
        <v>IIIIIIIIIIIIIIIIIIII</v>
      </c>
      <c r="L25" s="18"/>
    </row>
    <row r="26" spans="3:12" x14ac:dyDescent="0.25">
      <c r="C26" t="str">
        <f>Datos!Z17</f>
        <v>Almería</v>
      </c>
      <c r="D26">
        <f>Datos!AA17</f>
        <v>9</v>
      </c>
      <c r="E26">
        <f>Datos!AB17</f>
        <v>10</v>
      </c>
      <c r="F26">
        <f>Datos!AC17</f>
        <v>19</v>
      </c>
      <c r="H26" t="str">
        <f t="shared" si="0"/>
        <v>Almería</v>
      </c>
      <c r="I26" t="str">
        <f t="shared" si="1"/>
        <v>IIIIIIIIIIIIIIIIIII</v>
      </c>
      <c r="L26" s="18"/>
    </row>
    <row r="27" spans="3:12" x14ac:dyDescent="0.25">
      <c r="C27" t="str">
        <f>Datos!Z18</f>
        <v>Osasuna</v>
      </c>
      <c r="D27">
        <f>Datos!AA18</f>
        <v>11</v>
      </c>
      <c r="E27">
        <f>Datos!AB18</f>
        <v>7</v>
      </c>
      <c r="F27">
        <f>Datos!AC18</f>
        <v>18</v>
      </c>
      <c r="H27" t="str">
        <f t="shared" si="0"/>
        <v>Osasuna</v>
      </c>
      <c r="I27" t="str">
        <f t="shared" si="1"/>
        <v>IIIIIIIIIIIIIIIIII</v>
      </c>
      <c r="L27" s="18"/>
    </row>
    <row r="28" spans="3:12" x14ac:dyDescent="0.25">
      <c r="C28" t="str">
        <f>Datos!Z19</f>
        <v>Elche</v>
      </c>
      <c r="D28">
        <f>Datos!AA19</f>
        <v>8</v>
      </c>
      <c r="E28">
        <f>Datos!AB19</f>
        <v>9</v>
      </c>
      <c r="F28">
        <f>Datos!AC19</f>
        <v>17</v>
      </c>
      <c r="H28" t="str">
        <f t="shared" si="0"/>
        <v>Elche</v>
      </c>
      <c r="I28" t="str">
        <f t="shared" si="1"/>
        <v>IIIIIIIIIIIIIIIII</v>
      </c>
      <c r="L28" s="18"/>
    </row>
    <row r="29" spans="3:12" x14ac:dyDescent="0.25">
      <c r="C29" t="str">
        <f>Datos!Z20</f>
        <v>Celta</v>
      </c>
      <c r="D29">
        <f>Datos!AA20</f>
        <v>7</v>
      </c>
      <c r="E29">
        <f>Datos!AB20</f>
        <v>9</v>
      </c>
      <c r="F29">
        <f>Datos!AC20</f>
        <v>16</v>
      </c>
      <c r="H29" t="str">
        <f t="shared" si="0"/>
        <v>Celta</v>
      </c>
      <c r="I29" t="str">
        <f t="shared" si="1"/>
        <v>IIIIIIIIIIIIIIII</v>
      </c>
      <c r="L29" s="18"/>
    </row>
    <row r="30" spans="3:12" x14ac:dyDescent="0.25">
      <c r="C30" t="str">
        <f>Datos!Z21</f>
        <v>Valladolid</v>
      </c>
      <c r="D30">
        <f>Datos!AA21</f>
        <v>10</v>
      </c>
      <c r="E30">
        <f>Datos!AB21</f>
        <v>6</v>
      </c>
      <c r="F30">
        <f>Datos!AC21</f>
        <v>16</v>
      </c>
      <c r="H30" t="str">
        <f t="shared" si="0"/>
        <v>Valladolid</v>
      </c>
      <c r="I30" t="str">
        <f t="shared" si="1"/>
        <v>IIIIIIIIIIIIIIII</v>
      </c>
      <c r="L30" s="18"/>
    </row>
    <row r="31" spans="3:12" x14ac:dyDescent="0.25">
      <c r="C31" t="str">
        <f>Datos!Z22</f>
        <v>Rayo</v>
      </c>
      <c r="D31">
        <f>Datos!AA22</f>
        <v>6</v>
      </c>
      <c r="E31">
        <f>Datos!AB22</f>
        <v>7</v>
      </c>
      <c r="F31">
        <f>Datos!AC22</f>
        <v>13</v>
      </c>
      <c r="H31" t="str">
        <f t="shared" si="0"/>
        <v>Rayo</v>
      </c>
      <c r="I31" t="str">
        <f t="shared" si="1"/>
        <v>IIIIIIIIIIIII</v>
      </c>
      <c r="L31" s="18"/>
    </row>
    <row r="32" spans="3:12" x14ac:dyDescent="0.25">
      <c r="C32" s="2" t="str">
        <f>Datos!Z23</f>
        <v>Betis</v>
      </c>
      <c r="D32" s="2">
        <f>Datos!AA23</f>
        <v>9</v>
      </c>
      <c r="E32" s="2">
        <f>Datos!AB23</f>
        <v>2</v>
      </c>
      <c r="F32" s="2">
        <f>Datos!AC23</f>
        <v>11</v>
      </c>
      <c r="H32" s="2" t="str">
        <f t="shared" si="0"/>
        <v>Betis</v>
      </c>
      <c r="I32" t="str">
        <f t="shared" si="1"/>
        <v>IIIIIIIIIII</v>
      </c>
      <c r="J32" s="2"/>
      <c r="K32" s="2"/>
    </row>
  </sheetData>
  <mergeCells count="2">
    <mergeCell ref="C2:L4"/>
    <mergeCell ref="C7:L10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C23"/>
  <sheetViews>
    <sheetView workbookViewId="0">
      <selection activeCell="AA4" sqref="AA4"/>
    </sheetView>
  </sheetViews>
  <sheetFormatPr baseColWidth="10" defaultRowHeight="15" x14ac:dyDescent="0.25"/>
  <cols>
    <col min="1" max="1" width="11.42578125" style="18"/>
    <col min="2" max="2" width="3.28515625" style="18" bestFit="1" customWidth="1"/>
    <col min="3" max="3" width="11.85546875" style="18" bestFit="1" customWidth="1"/>
    <col min="4" max="4" width="3.28515625" style="18" bestFit="1" customWidth="1"/>
    <col min="5" max="5" width="3.42578125" style="18" bestFit="1" customWidth="1"/>
    <col min="6" max="6" width="3.140625" style="18" bestFit="1" customWidth="1"/>
    <col min="7" max="8" width="3.28515625" style="18" bestFit="1" customWidth="1"/>
    <col min="9" max="9" width="3.42578125" style="18" bestFit="1" customWidth="1"/>
    <col min="10" max="10" width="5.5703125" style="18" bestFit="1" customWidth="1"/>
    <col min="11" max="11" width="3.28515625" style="18" bestFit="1" customWidth="1"/>
    <col min="12" max="12" width="3.42578125" style="18" bestFit="1" customWidth="1"/>
    <col min="13" max="13" width="3.140625" style="18" bestFit="1" customWidth="1"/>
    <col min="14" max="15" width="3.28515625" style="18" bestFit="1" customWidth="1"/>
    <col min="16" max="16" width="3.42578125" style="18" bestFit="1" customWidth="1"/>
    <col min="17" max="17" width="5.5703125" style="18" bestFit="1" customWidth="1"/>
    <col min="18" max="18" width="3.28515625" style="18" bestFit="1" customWidth="1"/>
    <col min="19" max="19" width="3.42578125" style="18" bestFit="1" customWidth="1"/>
    <col min="20" max="20" width="3.140625" style="18" bestFit="1" customWidth="1"/>
    <col min="21" max="22" width="3.28515625" style="18" bestFit="1" customWidth="1"/>
    <col min="23" max="23" width="3.42578125" style="18" bestFit="1" customWidth="1"/>
    <col min="24" max="24" width="5.5703125" style="18" bestFit="1" customWidth="1"/>
    <col min="25" max="26" width="11.42578125" style="18"/>
    <col min="27" max="27" width="11.28515625" style="18" bestFit="1" customWidth="1"/>
    <col min="28" max="28" width="12.28515625" style="18" bestFit="1" customWidth="1"/>
    <col min="29" max="29" width="13.5703125" style="18" bestFit="1" customWidth="1"/>
    <col min="30" max="16384" width="11.42578125" style="18"/>
  </cols>
  <sheetData>
    <row r="2" spans="2:29" ht="15.75" thickBot="1" x14ac:dyDescent="0.3">
      <c r="B2" s="34" t="s">
        <v>20</v>
      </c>
      <c r="C2" s="34"/>
      <c r="D2" s="34"/>
      <c r="E2" s="34"/>
      <c r="F2" s="34"/>
      <c r="G2" s="34"/>
      <c r="H2" s="34"/>
      <c r="I2" s="34"/>
      <c r="J2" s="34"/>
      <c r="K2" s="34" t="s">
        <v>21</v>
      </c>
      <c r="L2" s="34"/>
      <c r="M2" s="34"/>
      <c r="N2" s="34"/>
      <c r="O2" s="34"/>
      <c r="P2" s="34"/>
      <c r="Q2" s="34"/>
      <c r="R2" s="34" t="s">
        <v>22</v>
      </c>
      <c r="S2" s="34"/>
      <c r="T2" s="34"/>
      <c r="U2" s="34"/>
      <c r="V2" s="34"/>
      <c r="W2" s="34"/>
      <c r="X2" s="34"/>
      <c r="AA2" s="18" t="s">
        <v>30</v>
      </c>
      <c r="AB2" s="18" t="s">
        <v>31</v>
      </c>
      <c r="AC2" s="18" t="s">
        <v>32</v>
      </c>
    </row>
    <row r="3" spans="2:29" ht="15.75" thickBot="1" x14ac:dyDescent="0.3">
      <c r="B3" s="20"/>
      <c r="C3" s="20"/>
      <c r="D3" s="20" t="s">
        <v>23</v>
      </c>
      <c r="E3" s="20" t="s">
        <v>24</v>
      </c>
      <c r="F3" s="20" t="s">
        <v>25</v>
      </c>
      <c r="G3" s="20" t="s">
        <v>26</v>
      </c>
      <c r="H3" s="20" t="s">
        <v>27</v>
      </c>
      <c r="I3" s="20" t="s">
        <v>28</v>
      </c>
      <c r="J3" s="20" t="s">
        <v>29</v>
      </c>
      <c r="K3" s="20" t="s">
        <v>23</v>
      </c>
      <c r="L3" s="20" t="s">
        <v>24</v>
      </c>
      <c r="M3" s="20" t="s">
        <v>25</v>
      </c>
      <c r="N3" s="20" t="s">
        <v>26</v>
      </c>
      <c r="O3" s="20" t="s">
        <v>27</v>
      </c>
      <c r="P3" s="20" t="s">
        <v>28</v>
      </c>
      <c r="Q3" s="20" t="s">
        <v>29</v>
      </c>
      <c r="R3" s="20" t="s">
        <v>23</v>
      </c>
      <c r="S3" s="20" t="s">
        <v>24</v>
      </c>
      <c r="T3" s="20" t="s">
        <v>25</v>
      </c>
      <c r="U3" s="20" t="s">
        <v>26</v>
      </c>
      <c r="V3" s="20" t="s">
        <v>27</v>
      </c>
      <c r="W3" s="20" t="s">
        <v>28</v>
      </c>
      <c r="X3" s="20" t="s">
        <v>29</v>
      </c>
    </row>
    <row r="4" spans="2:29" ht="15.75" thickBot="1" x14ac:dyDescent="0.3">
      <c r="B4" s="15">
        <v>1</v>
      </c>
      <c r="C4" s="16" t="s">
        <v>0</v>
      </c>
      <c r="D4" s="15">
        <v>18</v>
      </c>
      <c r="E4" s="15">
        <v>16</v>
      </c>
      <c r="F4" s="15">
        <v>1</v>
      </c>
      <c r="G4" s="15">
        <v>1</v>
      </c>
      <c r="H4" s="15">
        <v>53</v>
      </c>
      <c r="I4" s="15">
        <v>12</v>
      </c>
      <c r="J4" s="17">
        <v>49</v>
      </c>
      <c r="K4" s="15">
        <v>9</v>
      </c>
      <c r="L4" s="15">
        <v>9</v>
      </c>
      <c r="M4" s="15">
        <v>0</v>
      </c>
      <c r="N4" s="15">
        <v>0</v>
      </c>
      <c r="O4" s="15">
        <v>31</v>
      </c>
      <c r="P4" s="15">
        <v>6</v>
      </c>
      <c r="Q4" s="19">
        <v>27</v>
      </c>
      <c r="R4" s="15">
        <v>9</v>
      </c>
      <c r="S4" s="15">
        <v>7</v>
      </c>
      <c r="T4" s="15">
        <v>1</v>
      </c>
      <c r="U4" s="15">
        <v>1</v>
      </c>
      <c r="V4" s="15">
        <v>22</v>
      </c>
      <c r="W4" s="15">
        <v>6</v>
      </c>
      <c r="X4" s="19">
        <v>22</v>
      </c>
      <c r="Z4" s="18" t="str">
        <f>C4</f>
        <v>Barcelona</v>
      </c>
      <c r="AA4" s="18">
        <f>Q4</f>
        <v>27</v>
      </c>
      <c r="AB4" s="18">
        <f>X4</f>
        <v>22</v>
      </c>
      <c r="AC4" s="18">
        <f>AA4+AB4</f>
        <v>49</v>
      </c>
    </row>
    <row r="5" spans="2:29" ht="15.75" thickBot="1" x14ac:dyDescent="0.3">
      <c r="B5" s="15">
        <v>2</v>
      </c>
      <c r="C5" s="16" t="s">
        <v>1</v>
      </c>
      <c r="D5" s="15">
        <v>18</v>
      </c>
      <c r="E5" s="15">
        <v>16</v>
      </c>
      <c r="F5" s="15">
        <v>1</v>
      </c>
      <c r="G5" s="15">
        <v>1</v>
      </c>
      <c r="H5" s="15">
        <v>47</v>
      </c>
      <c r="I5" s="15">
        <v>11</v>
      </c>
      <c r="J5" s="17">
        <v>49</v>
      </c>
      <c r="K5" s="15">
        <v>9</v>
      </c>
      <c r="L5" s="15">
        <v>9</v>
      </c>
      <c r="M5" s="15">
        <v>0</v>
      </c>
      <c r="N5" s="15">
        <v>0</v>
      </c>
      <c r="O5" s="15">
        <v>33</v>
      </c>
      <c r="P5" s="15">
        <v>6</v>
      </c>
      <c r="Q5" s="19">
        <v>27</v>
      </c>
      <c r="R5" s="15">
        <v>9</v>
      </c>
      <c r="S5" s="15">
        <v>7</v>
      </c>
      <c r="T5" s="15">
        <v>1</v>
      </c>
      <c r="U5" s="15">
        <v>1</v>
      </c>
      <c r="V5" s="15">
        <v>14</v>
      </c>
      <c r="W5" s="15">
        <v>5</v>
      </c>
      <c r="X5" s="19">
        <v>22</v>
      </c>
      <c r="Z5" s="18" t="str">
        <f t="shared" ref="Z5:Z23" si="0">C5</f>
        <v>Atlético</v>
      </c>
      <c r="AA5" s="18">
        <f t="shared" ref="AA5:AA23" si="1">Q5</f>
        <v>27</v>
      </c>
      <c r="AB5" s="18">
        <f t="shared" ref="AB5:AB23" si="2">X5</f>
        <v>22</v>
      </c>
      <c r="AC5" s="18">
        <f t="shared" ref="AC5:AC23" si="3">AA5+AB5</f>
        <v>49</v>
      </c>
    </row>
    <row r="6" spans="2:29" ht="15.75" thickBot="1" x14ac:dyDescent="0.3">
      <c r="B6" s="15">
        <v>3</v>
      </c>
      <c r="C6" s="16" t="s">
        <v>2</v>
      </c>
      <c r="D6" s="15">
        <v>18</v>
      </c>
      <c r="E6" s="15">
        <v>14</v>
      </c>
      <c r="F6" s="15">
        <v>2</v>
      </c>
      <c r="G6" s="15">
        <v>2</v>
      </c>
      <c r="H6" s="15">
        <v>52</v>
      </c>
      <c r="I6" s="15">
        <v>21</v>
      </c>
      <c r="J6" s="17">
        <v>44</v>
      </c>
      <c r="K6" s="15">
        <v>9</v>
      </c>
      <c r="L6" s="15">
        <v>8</v>
      </c>
      <c r="M6" s="15">
        <v>0</v>
      </c>
      <c r="N6" s="15">
        <v>1</v>
      </c>
      <c r="O6" s="15">
        <v>30</v>
      </c>
      <c r="P6" s="15">
        <v>8</v>
      </c>
      <c r="Q6" s="19">
        <v>24</v>
      </c>
      <c r="R6" s="15">
        <v>9</v>
      </c>
      <c r="S6" s="15">
        <v>6</v>
      </c>
      <c r="T6" s="15">
        <v>2</v>
      </c>
      <c r="U6" s="15">
        <v>1</v>
      </c>
      <c r="V6" s="15">
        <v>22</v>
      </c>
      <c r="W6" s="15">
        <v>13</v>
      </c>
      <c r="X6" s="19">
        <v>20</v>
      </c>
      <c r="Z6" s="18" t="str">
        <f t="shared" si="0"/>
        <v>R. Madrid</v>
      </c>
      <c r="AA6" s="18">
        <f t="shared" si="1"/>
        <v>24</v>
      </c>
      <c r="AB6" s="18">
        <f t="shared" si="2"/>
        <v>20</v>
      </c>
      <c r="AC6" s="18">
        <f t="shared" si="3"/>
        <v>44</v>
      </c>
    </row>
    <row r="7" spans="2:29" ht="15.75" thickBot="1" x14ac:dyDescent="0.3">
      <c r="B7" s="15">
        <v>4</v>
      </c>
      <c r="C7" s="16" t="s">
        <v>3</v>
      </c>
      <c r="D7" s="15">
        <v>19</v>
      </c>
      <c r="E7" s="15">
        <v>11</v>
      </c>
      <c r="F7" s="15">
        <v>3</v>
      </c>
      <c r="G7" s="15">
        <v>5</v>
      </c>
      <c r="H7" s="15">
        <v>29</v>
      </c>
      <c r="I7" s="15">
        <v>24</v>
      </c>
      <c r="J7" s="17">
        <v>36</v>
      </c>
      <c r="K7" s="15">
        <v>10</v>
      </c>
      <c r="L7" s="15">
        <v>8</v>
      </c>
      <c r="M7" s="15">
        <v>2</v>
      </c>
      <c r="N7" s="15">
        <v>0</v>
      </c>
      <c r="O7" s="15">
        <v>20</v>
      </c>
      <c r="P7" s="15">
        <v>9</v>
      </c>
      <c r="Q7" s="19">
        <v>26</v>
      </c>
      <c r="R7" s="15">
        <v>9</v>
      </c>
      <c r="S7" s="15">
        <v>3</v>
      </c>
      <c r="T7" s="15">
        <v>1</v>
      </c>
      <c r="U7" s="15">
        <v>5</v>
      </c>
      <c r="V7" s="15">
        <v>9</v>
      </c>
      <c r="W7" s="15">
        <v>15</v>
      </c>
      <c r="X7" s="19">
        <v>10</v>
      </c>
      <c r="Z7" s="18" t="str">
        <f t="shared" si="0"/>
        <v>Athletic</v>
      </c>
      <c r="AA7" s="18">
        <f t="shared" si="1"/>
        <v>26</v>
      </c>
      <c r="AB7" s="18">
        <f t="shared" si="2"/>
        <v>10</v>
      </c>
      <c r="AC7" s="18">
        <f t="shared" si="3"/>
        <v>36</v>
      </c>
    </row>
    <row r="8" spans="2:29" ht="15.75" thickBot="1" x14ac:dyDescent="0.3">
      <c r="B8" s="15">
        <v>5</v>
      </c>
      <c r="C8" s="16" t="s">
        <v>4</v>
      </c>
      <c r="D8" s="15">
        <v>18</v>
      </c>
      <c r="E8" s="15">
        <v>9</v>
      </c>
      <c r="F8" s="15">
        <v>5</v>
      </c>
      <c r="G8" s="15">
        <v>4</v>
      </c>
      <c r="H8" s="15">
        <v>35</v>
      </c>
      <c r="I8" s="15">
        <v>23</v>
      </c>
      <c r="J8" s="17">
        <v>32</v>
      </c>
      <c r="K8" s="15">
        <v>9</v>
      </c>
      <c r="L8" s="15">
        <v>6</v>
      </c>
      <c r="M8" s="15">
        <v>2</v>
      </c>
      <c r="N8" s="15">
        <v>1</v>
      </c>
      <c r="O8" s="15">
        <v>23</v>
      </c>
      <c r="P8" s="15">
        <v>7</v>
      </c>
      <c r="Q8" s="19">
        <v>20</v>
      </c>
      <c r="R8" s="15">
        <v>9</v>
      </c>
      <c r="S8" s="15">
        <v>3</v>
      </c>
      <c r="T8" s="15">
        <v>3</v>
      </c>
      <c r="U8" s="15">
        <v>3</v>
      </c>
      <c r="V8" s="15">
        <v>12</v>
      </c>
      <c r="W8" s="15">
        <v>16</v>
      </c>
      <c r="X8" s="19">
        <v>12</v>
      </c>
      <c r="Z8" s="18" t="str">
        <f t="shared" si="0"/>
        <v>R. Sociedad</v>
      </c>
      <c r="AA8" s="18">
        <f t="shared" si="1"/>
        <v>20</v>
      </c>
      <c r="AB8" s="18">
        <f t="shared" si="2"/>
        <v>12</v>
      </c>
      <c r="AC8" s="18">
        <f t="shared" si="3"/>
        <v>32</v>
      </c>
    </row>
    <row r="9" spans="2:29" ht="15.75" thickBot="1" x14ac:dyDescent="0.3">
      <c r="B9" s="15">
        <v>6</v>
      </c>
      <c r="C9" s="16" t="s">
        <v>5</v>
      </c>
      <c r="D9" s="15">
        <v>18</v>
      </c>
      <c r="E9" s="15">
        <v>9</v>
      </c>
      <c r="F9" s="15">
        <v>4</v>
      </c>
      <c r="G9" s="15">
        <v>5</v>
      </c>
      <c r="H9" s="15">
        <v>32</v>
      </c>
      <c r="I9" s="15">
        <v>20</v>
      </c>
      <c r="J9" s="17">
        <v>31</v>
      </c>
      <c r="K9" s="15">
        <v>9</v>
      </c>
      <c r="L9" s="15">
        <v>4</v>
      </c>
      <c r="M9" s="15">
        <v>3</v>
      </c>
      <c r="N9" s="15">
        <v>2</v>
      </c>
      <c r="O9" s="15">
        <v>16</v>
      </c>
      <c r="P9" s="15">
        <v>11</v>
      </c>
      <c r="Q9" s="19">
        <v>15</v>
      </c>
      <c r="R9" s="15">
        <v>9</v>
      </c>
      <c r="S9" s="15">
        <v>5</v>
      </c>
      <c r="T9" s="15">
        <v>1</v>
      </c>
      <c r="U9" s="15">
        <v>3</v>
      </c>
      <c r="V9" s="15">
        <v>16</v>
      </c>
      <c r="W9" s="15">
        <v>9</v>
      </c>
      <c r="X9" s="19">
        <v>16</v>
      </c>
      <c r="Z9" s="18" t="str">
        <f t="shared" si="0"/>
        <v>Villarreal</v>
      </c>
      <c r="AA9" s="18">
        <f t="shared" si="1"/>
        <v>15</v>
      </c>
      <c r="AB9" s="18">
        <f t="shared" si="2"/>
        <v>16</v>
      </c>
      <c r="AC9" s="18">
        <f t="shared" si="3"/>
        <v>31</v>
      </c>
    </row>
    <row r="10" spans="2:29" ht="15.75" thickBot="1" x14ac:dyDescent="0.3">
      <c r="B10" s="15">
        <v>7</v>
      </c>
      <c r="C10" s="16" t="s">
        <v>6</v>
      </c>
      <c r="D10" s="15">
        <v>18</v>
      </c>
      <c r="E10" s="15">
        <v>8</v>
      </c>
      <c r="F10" s="15">
        <v>5</v>
      </c>
      <c r="G10" s="15">
        <v>5</v>
      </c>
      <c r="H10" s="15">
        <v>35</v>
      </c>
      <c r="I10" s="15">
        <v>29</v>
      </c>
      <c r="J10" s="17">
        <v>29</v>
      </c>
      <c r="K10" s="15">
        <v>9</v>
      </c>
      <c r="L10" s="15">
        <v>5</v>
      </c>
      <c r="M10" s="15">
        <v>2</v>
      </c>
      <c r="N10" s="15">
        <v>2</v>
      </c>
      <c r="O10" s="15">
        <v>19</v>
      </c>
      <c r="P10" s="15">
        <v>10</v>
      </c>
      <c r="Q10" s="19">
        <v>17</v>
      </c>
      <c r="R10" s="15">
        <v>9</v>
      </c>
      <c r="S10" s="15">
        <v>3</v>
      </c>
      <c r="T10" s="15">
        <v>3</v>
      </c>
      <c r="U10" s="15">
        <v>3</v>
      </c>
      <c r="V10" s="15">
        <v>16</v>
      </c>
      <c r="W10" s="15">
        <v>19</v>
      </c>
      <c r="X10" s="19">
        <v>12</v>
      </c>
      <c r="Z10" s="18" t="str">
        <f t="shared" si="0"/>
        <v>Sevilla</v>
      </c>
      <c r="AA10" s="18">
        <f t="shared" si="1"/>
        <v>17</v>
      </c>
      <c r="AB10" s="18">
        <f t="shared" si="2"/>
        <v>12</v>
      </c>
      <c r="AC10" s="18">
        <f t="shared" si="3"/>
        <v>29</v>
      </c>
    </row>
    <row r="11" spans="2:29" ht="15.75" thickBot="1" x14ac:dyDescent="0.3">
      <c r="B11" s="15">
        <v>8</v>
      </c>
      <c r="C11" s="16" t="s">
        <v>7</v>
      </c>
      <c r="D11" s="15">
        <v>18</v>
      </c>
      <c r="E11" s="15">
        <v>7</v>
      </c>
      <c r="F11" s="15">
        <v>2</v>
      </c>
      <c r="G11" s="15">
        <v>9</v>
      </c>
      <c r="H11" s="15">
        <v>25</v>
      </c>
      <c r="I11" s="15">
        <v>29</v>
      </c>
      <c r="J11" s="17">
        <v>23</v>
      </c>
      <c r="K11" s="15">
        <v>10</v>
      </c>
      <c r="L11" s="15">
        <v>5</v>
      </c>
      <c r="M11" s="15">
        <v>1</v>
      </c>
      <c r="N11" s="15">
        <v>4</v>
      </c>
      <c r="O11" s="15">
        <v>18</v>
      </c>
      <c r="P11" s="15">
        <v>13</v>
      </c>
      <c r="Q11" s="19">
        <v>16</v>
      </c>
      <c r="R11" s="15">
        <v>8</v>
      </c>
      <c r="S11" s="15">
        <v>2</v>
      </c>
      <c r="T11" s="15">
        <v>1</v>
      </c>
      <c r="U11" s="15">
        <v>5</v>
      </c>
      <c r="V11" s="15">
        <v>7</v>
      </c>
      <c r="W11" s="15">
        <v>16</v>
      </c>
      <c r="X11" s="19">
        <v>7</v>
      </c>
      <c r="Z11" s="18" t="str">
        <f t="shared" si="0"/>
        <v>Valencia</v>
      </c>
      <c r="AA11" s="18">
        <f t="shared" si="1"/>
        <v>16</v>
      </c>
      <c r="AB11" s="18">
        <f t="shared" si="2"/>
        <v>7</v>
      </c>
      <c r="AC11" s="18">
        <f t="shared" si="3"/>
        <v>23</v>
      </c>
    </row>
    <row r="12" spans="2:29" ht="15.75" thickBot="1" x14ac:dyDescent="0.3">
      <c r="B12" s="15">
        <v>9</v>
      </c>
      <c r="C12" s="16" t="s">
        <v>8</v>
      </c>
      <c r="D12" s="15">
        <v>19</v>
      </c>
      <c r="E12" s="15">
        <v>7</v>
      </c>
      <c r="F12" s="15">
        <v>2</v>
      </c>
      <c r="G12" s="15">
        <v>10</v>
      </c>
      <c r="H12" s="15">
        <v>19</v>
      </c>
      <c r="I12" s="15">
        <v>25</v>
      </c>
      <c r="J12" s="17">
        <v>23</v>
      </c>
      <c r="K12" s="15">
        <v>10</v>
      </c>
      <c r="L12" s="15">
        <v>3</v>
      </c>
      <c r="M12" s="15">
        <v>0</v>
      </c>
      <c r="N12" s="15">
        <v>7</v>
      </c>
      <c r="O12" s="15">
        <v>12</v>
      </c>
      <c r="P12" s="15">
        <v>13</v>
      </c>
      <c r="Q12" s="19">
        <v>9</v>
      </c>
      <c r="R12" s="15">
        <v>9</v>
      </c>
      <c r="S12" s="15">
        <v>4</v>
      </c>
      <c r="T12" s="15">
        <v>2</v>
      </c>
      <c r="U12" s="15">
        <v>3</v>
      </c>
      <c r="V12" s="15">
        <v>7</v>
      </c>
      <c r="W12" s="15">
        <v>12</v>
      </c>
      <c r="X12" s="19">
        <v>14</v>
      </c>
      <c r="Z12" s="18" t="str">
        <f t="shared" si="0"/>
        <v>Granada</v>
      </c>
      <c r="AA12" s="18">
        <f t="shared" si="1"/>
        <v>9</v>
      </c>
      <c r="AB12" s="18">
        <f t="shared" si="2"/>
        <v>14</v>
      </c>
      <c r="AC12" s="18">
        <f t="shared" si="3"/>
        <v>23</v>
      </c>
    </row>
    <row r="13" spans="2:29" ht="15.75" thickBot="1" x14ac:dyDescent="0.3">
      <c r="B13" s="15">
        <v>10</v>
      </c>
      <c r="C13" s="16" t="s">
        <v>9</v>
      </c>
      <c r="D13" s="15">
        <v>18</v>
      </c>
      <c r="E13" s="15">
        <v>7</v>
      </c>
      <c r="F13" s="15">
        <v>2</v>
      </c>
      <c r="G13" s="15">
        <v>9</v>
      </c>
      <c r="H13" s="15">
        <v>20</v>
      </c>
      <c r="I13" s="15">
        <v>30</v>
      </c>
      <c r="J13" s="17">
        <v>23</v>
      </c>
      <c r="K13" s="15">
        <v>9</v>
      </c>
      <c r="L13" s="15">
        <v>4</v>
      </c>
      <c r="M13" s="15">
        <v>2</v>
      </c>
      <c r="N13" s="15">
        <v>3</v>
      </c>
      <c r="O13" s="15">
        <v>13</v>
      </c>
      <c r="P13" s="15">
        <v>12</v>
      </c>
      <c r="Q13" s="19">
        <v>14</v>
      </c>
      <c r="R13" s="15">
        <v>9</v>
      </c>
      <c r="S13" s="15">
        <v>3</v>
      </c>
      <c r="T13" s="15">
        <v>0</v>
      </c>
      <c r="U13" s="15">
        <v>6</v>
      </c>
      <c r="V13" s="15">
        <v>7</v>
      </c>
      <c r="W13" s="15">
        <v>18</v>
      </c>
      <c r="X13" s="19">
        <v>9</v>
      </c>
      <c r="Z13" s="18" t="str">
        <f t="shared" si="0"/>
        <v>Getafe</v>
      </c>
      <c r="AA13" s="18">
        <f t="shared" si="1"/>
        <v>14</v>
      </c>
      <c r="AB13" s="18">
        <f t="shared" si="2"/>
        <v>9</v>
      </c>
      <c r="AC13" s="18">
        <f t="shared" si="3"/>
        <v>23</v>
      </c>
    </row>
    <row r="14" spans="2:29" ht="15.75" thickBot="1" x14ac:dyDescent="0.3">
      <c r="B14" s="15">
        <v>11</v>
      </c>
      <c r="C14" s="16" t="s">
        <v>10</v>
      </c>
      <c r="D14" s="15">
        <v>18</v>
      </c>
      <c r="E14" s="15">
        <v>6</v>
      </c>
      <c r="F14" s="15">
        <v>4</v>
      </c>
      <c r="G14" s="15">
        <v>8</v>
      </c>
      <c r="H14" s="15">
        <v>22</v>
      </c>
      <c r="I14" s="15">
        <v>24</v>
      </c>
      <c r="J14" s="17">
        <v>22</v>
      </c>
      <c r="K14" s="15">
        <v>9</v>
      </c>
      <c r="L14" s="15">
        <v>4</v>
      </c>
      <c r="M14" s="15">
        <v>2</v>
      </c>
      <c r="N14" s="15">
        <v>3</v>
      </c>
      <c r="O14" s="15">
        <v>13</v>
      </c>
      <c r="P14" s="15">
        <v>12</v>
      </c>
      <c r="Q14" s="19">
        <v>14</v>
      </c>
      <c r="R14" s="15">
        <v>9</v>
      </c>
      <c r="S14" s="15">
        <v>2</v>
      </c>
      <c r="T14" s="15">
        <v>2</v>
      </c>
      <c r="U14" s="15">
        <v>5</v>
      </c>
      <c r="V14" s="15">
        <v>9</v>
      </c>
      <c r="W14" s="15">
        <v>12</v>
      </c>
      <c r="X14" s="19">
        <v>8</v>
      </c>
      <c r="Z14" s="18" t="str">
        <f t="shared" si="0"/>
        <v>Espanyol</v>
      </c>
      <c r="AA14" s="18">
        <f t="shared" si="1"/>
        <v>14</v>
      </c>
      <c r="AB14" s="18">
        <f t="shared" si="2"/>
        <v>8</v>
      </c>
      <c r="AC14" s="18">
        <f t="shared" si="3"/>
        <v>22</v>
      </c>
    </row>
    <row r="15" spans="2:29" ht="15.75" thickBot="1" x14ac:dyDescent="0.3">
      <c r="B15" s="15">
        <v>12</v>
      </c>
      <c r="C15" s="16" t="s">
        <v>11</v>
      </c>
      <c r="D15" s="15">
        <v>18</v>
      </c>
      <c r="E15" s="15">
        <v>5</v>
      </c>
      <c r="F15" s="15">
        <v>5</v>
      </c>
      <c r="G15" s="15">
        <v>8</v>
      </c>
      <c r="H15" s="15">
        <v>19</v>
      </c>
      <c r="I15" s="15">
        <v>23</v>
      </c>
      <c r="J15" s="17">
        <v>20</v>
      </c>
      <c r="K15" s="15">
        <v>9</v>
      </c>
      <c r="L15" s="15">
        <v>4</v>
      </c>
      <c r="M15" s="15">
        <v>0</v>
      </c>
      <c r="N15" s="15">
        <v>5</v>
      </c>
      <c r="O15" s="15">
        <v>12</v>
      </c>
      <c r="P15" s="15">
        <v>12</v>
      </c>
      <c r="Q15" s="19">
        <v>12</v>
      </c>
      <c r="R15" s="15">
        <v>9</v>
      </c>
      <c r="S15" s="15">
        <v>1</v>
      </c>
      <c r="T15" s="15">
        <v>5</v>
      </c>
      <c r="U15" s="15">
        <v>3</v>
      </c>
      <c r="V15" s="15">
        <v>7</v>
      </c>
      <c r="W15" s="15">
        <v>11</v>
      </c>
      <c r="X15" s="19">
        <v>8</v>
      </c>
      <c r="Z15" s="18" t="str">
        <f t="shared" si="0"/>
        <v>Málaga</v>
      </c>
      <c r="AA15" s="18">
        <f t="shared" si="1"/>
        <v>12</v>
      </c>
      <c r="AB15" s="18">
        <f t="shared" si="2"/>
        <v>8</v>
      </c>
      <c r="AC15" s="18">
        <f t="shared" si="3"/>
        <v>20</v>
      </c>
    </row>
    <row r="16" spans="2:29" ht="15.75" thickBot="1" x14ac:dyDescent="0.3">
      <c r="B16" s="15">
        <v>13</v>
      </c>
      <c r="C16" s="16" t="s">
        <v>12</v>
      </c>
      <c r="D16" s="15">
        <v>18</v>
      </c>
      <c r="E16" s="15">
        <v>5</v>
      </c>
      <c r="F16" s="15">
        <v>5</v>
      </c>
      <c r="G16" s="15">
        <v>8</v>
      </c>
      <c r="H16" s="15">
        <v>17</v>
      </c>
      <c r="I16" s="15">
        <v>27</v>
      </c>
      <c r="J16" s="17">
        <v>20</v>
      </c>
      <c r="K16" s="15">
        <v>8</v>
      </c>
      <c r="L16" s="15">
        <v>2</v>
      </c>
      <c r="M16" s="15">
        <v>3</v>
      </c>
      <c r="N16" s="15">
        <v>3</v>
      </c>
      <c r="O16" s="15">
        <v>8</v>
      </c>
      <c r="P16" s="15">
        <v>9</v>
      </c>
      <c r="Q16" s="19">
        <v>9</v>
      </c>
      <c r="R16" s="15">
        <v>10</v>
      </c>
      <c r="S16" s="15">
        <v>3</v>
      </c>
      <c r="T16" s="15">
        <v>2</v>
      </c>
      <c r="U16" s="15">
        <v>5</v>
      </c>
      <c r="V16" s="15">
        <v>9</v>
      </c>
      <c r="W16" s="15">
        <v>18</v>
      </c>
      <c r="X16" s="19">
        <v>11</v>
      </c>
      <c r="Z16" s="18" t="str">
        <f t="shared" si="0"/>
        <v>Levante</v>
      </c>
      <c r="AA16" s="18">
        <f t="shared" si="1"/>
        <v>9</v>
      </c>
      <c r="AB16" s="18">
        <f t="shared" si="2"/>
        <v>11</v>
      </c>
      <c r="AC16" s="18">
        <f t="shared" si="3"/>
        <v>20</v>
      </c>
    </row>
    <row r="17" spans="2:29" ht="15.75" thickBot="1" x14ac:dyDescent="0.3">
      <c r="B17" s="15">
        <v>14</v>
      </c>
      <c r="C17" s="16" t="s">
        <v>13</v>
      </c>
      <c r="D17" s="15">
        <v>19</v>
      </c>
      <c r="E17" s="15">
        <v>5</v>
      </c>
      <c r="F17" s="15">
        <v>4</v>
      </c>
      <c r="G17" s="15">
        <v>10</v>
      </c>
      <c r="H17" s="15">
        <v>21</v>
      </c>
      <c r="I17" s="15">
        <v>35</v>
      </c>
      <c r="J17" s="17">
        <v>19</v>
      </c>
      <c r="K17" s="15">
        <v>9</v>
      </c>
      <c r="L17" s="15">
        <v>2</v>
      </c>
      <c r="M17" s="15">
        <v>3</v>
      </c>
      <c r="N17" s="15">
        <v>4</v>
      </c>
      <c r="O17" s="15">
        <v>10</v>
      </c>
      <c r="P17" s="15">
        <v>15</v>
      </c>
      <c r="Q17" s="19">
        <v>9</v>
      </c>
      <c r="R17" s="15">
        <v>10</v>
      </c>
      <c r="S17" s="15">
        <v>3</v>
      </c>
      <c r="T17" s="15">
        <v>1</v>
      </c>
      <c r="U17" s="15">
        <v>6</v>
      </c>
      <c r="V17" s="15">
        <v>11</v>
      </c>
      <c r="W17" s="15">
        <v>20</v>
      </c>
      <c r="X17" s="19">
        <v>10</v>
      </c>
      <c r="Z17" s="18" t="str">
        <f t="shared" si="0"/>
        <v>Almería</v>
      </c>
      <c r="AA17" s="18">
        <f t="shared" si="1"/>
        <v>9</v>
      </c>
      <c r="AB17" s="18">
        <f t="shared" si="2"/>
        <v>10</v>
      </c>
      <c r="AC17" s="18">
        <f t="shared" si="3"/>
        <v>19</v>
      </c>
    </row>
    <row r="18" spans="2:29" ht="15.75" thickBot="1" x14ac:dyDescent="0.3">
      <c r="B18" s="15">
        <v>15</v>
      </c>
      <c r="C18" s="16" t="s">
        <v>14</v>
      </c>
      <c r="D18" s="15">
        <v>18</v>
      </c>
      <c r="E18" s="15">
        <v>5</v>
      </c>
      <c r="F18" s="15">
        <v>3</v>
      </c>
      <c r="G18" s="15">
        <v>10</v>
      </c>
      <c r="H18" s="15">
        <v>15</v>
      </c>
      <c r="I18" s="15">
        <v>28</v>
      </c>
      <c r="J18" s="17">
        <v>18</v>
      </c>
      <c r="K18" s="15">
        <v>9</v>
      </c>
      <c r="L18" s="15">
        <v>3</v>
      </c>
      <c r="M18" s="15">
        <v>2</v>
      </c>
      <c r="N18" s="15">
        <v>4</v>
      </c>
      <c r="O18" s="15">
        <v>9</v>
      </c>
      <c r="P18" s="15">
        <v>11</v>
      </c>
      <c r="Q18" s="19">
        <v>11</v>
      </c>
      <c r="R18" s="15">
        <v>9</v>
      </c>
      <c r="S18" s="15">
        <v>2</v>
      </c>
      <c r="T18" s="15">
        <v>1</v>
      </c>
      <c r="U18" s="15">
        <v>6</v>
      </c>
      <c r="V18" s="15">
        <v>6</v>
      </c>
      <c r="W18" s="15">
        <v>17</v>
      </c>
      <c r="X18" s="19">
        <v>7</v>
      </c>
      <c r="Z18" s="18" t="str">
        <f t="shared" si="0"/>
        <v>Osasuna</v>
      </c>
      <c r="AA18" s="18">
        <f t="shared" si="1"/>
        <v>11</v>
      </c>
      <c r="AB18" s="18">
        <f t="shared" si="2"/>
        <v>7</v>
      </c>
      <c r="AC18" s="18">
        <f t="shared" si="3"/>
        <v>18</v>
      </c>
    </row>
    <row r="19" spans="2:29" ht="15.75" thickBot="1" x14ac:dyDescent="0.3">
      <c r="B19" s="15">
        <v>16</v>
      </c>
      <c r="C19" s="16" t="s">
        <v>15</v>
      </c>
      <c r="D19" s="15">
        <v>18</v>
      </c>
      <c r="E19" s="15">
        <v>4</v>
      </c>
      <c r="F19" s="15">
        <v>5</v>
      </c>
      <c r="G19" s="15">
        <v>9</v>
      </c>
      <c r="H19" s="15">
        <v>16</v>
      </c>
      <c r="I19" s="15">
        <v>27</v>
      </c>
      <c r="J19" s="17">
        <v>17</v>
      </c>
      <c r="K19" s="15">
        <v>9</v>
      </c>
      <c r="L19" s="15">
        <v>2</v>
      </c>
      <c r="M19" s="15">
        <v>2</v>
      </c>
      <c r="N19" s="15">
        <v>5</v>
      </c>
      <c r="O19" s="15">
        <v>6</v>
      </c>
      <c r="P19" s="15">
        <v>10</v>
      </c>
      <c r="Q19" s="19">
        <v>8</v>
      </c>
      <c r="R19" s="15">
        <v>9</v>
      </c>
      <c r="S19" s="15">
        <v>2</v>
      </c>
      <c r="T19" s="15">
        <v>3</v>
      </c>
      <c r="U19" s="15">
        <v>4</v>
      </c>
      <c r="V19" s="15">
        <v>10</v>
      </c>
      <c r="W19" s="15">
        <v>17</v>
      </c>
      <c r="X19" s="19">
        <v>9</v>
      </c>
      <c r="Z19" s="18" t="str">
        <f t="shared" si="0"/>
        <v>Elche</v>
      </c>
      <c r="AA19" s="18">
        <f t="shared" si="1"/>
        <v>8</v>
      </c>
      <c r="AB19" s="18">
        <f t="shared" si="2"/>
        <v>9</v>
      </c>
      <c r="AC19" s="18">
        <f t="shared" si="3"/>
        <v>17</v>
      </c>
    </row>
    <row r="20" spans="2:29" ht="15.75" thickBot="1" x14ac:dyDescent="0.3">
      <c r="B20" s="15">
        <v>17</v>
      </c>
      <c r="C20" s="16" t="s">
        <v>16</v>
      </c>
      <c r="D20" s="15">
        <v>18</v>
      </c>
      <c r="E20" s="15">
        <v>4</v>
      </c>
      <c r="F20" s="15">
        <v>4</v>
      </c>
      <c r="G20" s="15">
        <v>10</v>
      </c>
      <c r="H20" s="15">
        <v>21</v>
      </c>
      <c r="I20" s="15">
        <v>30</v>
      </c>
      <c r="J20" s="17">
        <v>16</v>
      </c>
      <c r="K20" s="15">
        <v>9</v>
      </c>
      <c r="L20" s="15">
        <v>1</v>
      </c>
      <c r="M20" s="15">
        <v>4</v>
      </c>
      <c r="N20" s="15">
        <v>4</v>
      </c>
      <c r="O20" s="15">
        <v>7</v>
      </c>
      <c r="P20" s="15">
        <v>12</v>
      </c>
      <c r="Q20" s="19">
        <v>7</v>
      </c>
      <c r="R20" s="15">
        <v>9</v>
      </c>
      <c r="S20" s="15">
        <v>3</v>
      </c>
      <c r="T20" s="15">
        <v>0</v>
      </c>
      <c r="U20" s="15">
        <v>6</v>
      </c>
      <c r="V20" s="15">
        <v>14</v>
      </c>
      <c r="W20" s="15">
        <v>18</v>
      </c>
      <c r="X20" s="19">
        <v>9</v>
      </c>
      <c r="Z20" s="18" t="str">
        <f t="shared" si="0"/>
        <v>Celta</v>
      </c>
      <c r="AA20" s="18">
        <f t="shared" si="1"/>
        <v>7</v>
      </c>
      <c r="AB20" s="18">
        <f t="shared" si="2"/>
        <v>9</v>
      </c>
      <c r="AC20" s="18">
        <f t="shared" si="3"/>
        <v>16</v>
      </c>
    </row>
    <row r="21" spans="2:29" ht="15.75" thickBot="1" x14ac:dyDescent="0.3">
      <c r="B21" s="15">
        <v>18</v>
      </c>
      <c r="C21" s="16" t="s">
        <v>17</v>
      </c>
      <c r="D21" s="15">
        <v>19</v>
      </c>
      <c r="E21" s="15">
        <v>3</v>
      </c>
      <c r="F21" s="15">
        <v>7</v>
      </c>
      <c r="G21" s="15">
        <v>9</v>
      </c>
      <c r="H21" s="15">
        <v>21</v>
      </c>
      <c r="I21" s="15">
        <v>33</v>
      </c>
      <c r="J21" s="17">
        <v>16</v>
      </c>
      <c r="K21" s="15">
        <v>9</v>
      </c>
      <c r="L21" s="15">
        <v>2</v>
      </c>
      <c r="M21" s="15">
        <v>4</v>
      </c>
      <c r="N21" s="15">
        <v>3</v>
      </c>
      <c r="O21" s="15">
        <v>11</v>
      </c>
      <c r="P21" s="15">
        <v>11</v>
      </c>
      <c r="Q21" s="19">
        <v>10</v>
      </c>
      <c r="R21" s="15">
        <v>10</v>
      </c>
      <c r="S21" s="15">
        <v>1</v>
      </c>
      <c r="T21" s="15">
        <v>3</v>
      </c>
      <c r="U21" s="15">
        <v>6</v>
      </c>
      <c r="V21" s="15">
        <v>10</v>
      </c>
      <c r="W21" s="15">
        <v>22</v>
      </c>
      <c r="X21" s="19">
        <v>6</v>
      </c>
      <c r="Z21" s="18" t="str">
        <f t="shared" si="0"/>
        <v>Valladolid</v>
      </c>
      <c r="AA21" s="18">
        <f t="shared" si="1"/>
        <v>10</v>
      </c>
      <c r="AB21" s="18">
        <f t="shared" si="2"/>
        <v>6</v>
      </c>
      <c r="AC21" s="18">
        <f t="shared" si="3"/>
        <v>16</v>
      </c>
    </row>
    <row r="22" spans="2:29" ht="15.75" thickBot="1" x14ac:dyDescent="0.3">
      <c r="B22" s="15">
        <v>19</v>
      </c>
      <c r="C22" s="16" t="s">
        <v>18</v>
      </c>
      <c r="D22" s="15">
        <v>18</v>
      </c>
      <c r="E22" s="15">
        <v>4</v>
      </c>
      <c r="F22" s="15">
        <v>1</v>
      </c>
      <c r="G22" s="15">
        <v>13</v>
      </c>
      <c r="H22" s="15">
        <v>18</v>
      </c>
      <c r="I22" s="15">
        <v>45</v>
      </c>
      <c r="J22" s="17">
        <v>13</v>
      </c>
      <c r="K22" s="15">
        <v>9</v>
      </c>
      <c r="L22" s="15">
        <v>2</v>
      </c>
      <c r="M22" s="15">
        <v>0</v>
      </c>
      <c r="N22" s="15">
        <v>7</v>
      </c>
      <c r="O22" s="15">
        <v>10</v>
      </c>
      <c r="P22" s="15">
        <v>23</v>
      </c>
      <c r="Q22" s="19">
        <v>6</v>
      </c>
      <c r="R22" s="15">
        <v>9</v>
      </c>
      <c r="S22" s="15">
        <v>2</v>
      </c>
      <c r="T22" s="15">
        <v>1</v>
      </c>
      <c r="U22" s="15">
        <v>6</v>
      </c>
      <c r="V22" s="15">
        <v>8</v>
      </c>
      <c r="W22" s="15">
        <v>22</v>
      </c>
      <c r="X22" s="19">
        <v>7</v>
      </c>
      <c r="Z22" s="18" t="str">
        <f t="shared" si="0"/>
        <v>Rayo</v>
      </c>
      <c r="AA22" s="18">
        <f t="shared" si="1"/>
        <v>6</v>
      </c>
      <c r="AB22" s="18">
        <f t="shared" si="2"/>
        <v>7</v>
      </c>
      <c r="AC22" s="18">
        <f t="shared" si="3"/>
        <v>13</v>
      </c>
    </row>
    <row r="23" spans="2:29" ht="15.75" thickBot="1" x14ac:dyDescent="0.3">
      <c r="B23" s="15">
        <v>20</v>
      </c>
      <c r="C23" s="16" t="s">
        <v>19</v>
      </c>
      <c r="D23" s="15">
        <v>18</v>
      </c>
      <c r="E23" s="15">
        <v>2</v>
      </c>
      <c r="F23" s="15">
        <v>5</v>
      </c>
      <c r="G23" s="15">
        <v>11</v>
      </c>
      <c r="H23" s="15">
        <v>15</v>
      </c>
      <c r="I23" s="15">
        <v>36</v>
      </c>
      <c r="J23" s="17">
        <v>11</v>
      </c>
      <c r="K23" s="15">
        <v>9</v>
      </c>
      <c r="L23" s="15">
        <v>2</v>
      </c>
      <c r="M23" s="15">
        <v>3</v>
      </c>
      <c r="N23" s="15">
        <v>4</v>
      </c>
      <c r="O23" s="15">
        <v>9</v>
      </c>
      <c r="P23" s="15">
        <v>12</v>
      </c>
      <c r="Q23" s="19">
        <v>9</v>
      </c>
      <c r="R23" s="15">
        <v>9</v>
      </c>
      <c r="S23" s="15">
        <v>0</v>
      </c>
      <c r="T23" s="15">
        <v>2</v>
      </c>
      <c r="U23" s="15">
        <v>7</v>
      </c>
      <c r="V23" s="15">
        <v>6</v>
      </c>
      <c r="W23" s="15">
        <v>24</v>
      </c>
      <c r="X23" s="19">
        <v>2</v>
      </c>
      <c r="Z23" s="18" t="str">
        <f t="shared" si="0"/>
        <v>Betis</v>
      </c>
      <c r="AA23" s="18">
        <f t="shared" si="1"/>
        <v>9</v>
      </c>
      <c r="AB23" s="18">
        <f t="shared" si="2"/>
        <v>2</v>
      </c>
      <c r="AC23" s="18">
        <f t="shared" si="3"/>
        <v>11</v>
      </c>
    </row>
  </sheetData>
  <mergeCells count="3">
    <mergeCell ref="B2:J2"/>
    <mergeCell ref="K2:Q2"/>
    <mergeCell ref="R2:X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Ejercicio</vt:lpstr>
      <vt:lpstr>Datos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Témpora</dc:creator>
  <cp:keywords>ES_640_03_05</cp:keywords>
  <cp:lastModifiedBy>José Manuel Pomares Medrano</cp:lastModifiedBy>
  <dcterms:created xsi:type="dcterms:W3CDTF">2013-08-21T21:46:23Z</dcterms:created>
  <dcterms:modified xsi:type="dcterms:W3CDTF">2014-01-11T17:21:30Z</dcterms:modified>
</cp:coreProperties>
</file>